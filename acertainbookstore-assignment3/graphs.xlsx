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/Downloads/acs-assignments/acertainbookstore-assignment3/"/>
    </mc:Choice>
  </mc:AlternateContent>
  <xr:revisionPtr revIDLastSave="0" documentId="13_ncr:1_{3D38A570-02FC-044E-90E7-D09BF34C566C}" xr6:coauthVersionLast="47" xr6:coauthVersionMax="47" xr10:uidLastSave="{00000000-0000-0000-0000-000000000000}"/>
  <bookViews>
    <workbookView xWindow="0" yWindow="880" windowWidth="36000" windowHeight="22500" xr2:uid="{54B3A307-7715-E34F-B9A9-B5FD6CF7F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K31" i="1"/>
  <c r="J31" i="1"/>
  <c r="K30" i="1"/>
  <c r="J30" i="1"/>
  <c r="K29" i="1"/>
  <c r="J29" i="1"/>
  <c r="K28" i="1"/>
  <c r="J28" i="1"/>
  <c r="K27" i="1"/>
  <c r="J27" i="1"/>
  <c r="K26" i="1"/>
  <c r="J26" i="1"/>
  <c r="F31" i="1"/>
  <c r="E31" i="1"/>
  <c r="F30" i="1"/>
  <c r="E30" i="1"/>
  <c r="F29" i="1"/>
  <c r="E29" i="1"/>
  <c r="F28" i="1"/>
  <c r="E28" i="1"/>
  <c r="F27" i="1"/>
  <c r="E27" i="1"/>
  <c r="F26" i="1"/>
  <c r="K2" i="1"/>
  <c r="J2" i="1"/>
  <c r="K7" i="1"/>
  <c r="J7" i="1"/>
  <c r="K6" i="1"/>
  <c r="J6" i="1"/>
  <c r="K5" i="1"/>
  <c r="J5" i="1"/>
  <c r="K4" i="1"/>
  <c r="J4" i="1"/>
  <c r="K3" i="1"/>
  <c r="J3" i="1"/>
  <c r="E3" i="1"/>
  <c r="F3" i="1"/>
  <c r="E4" i="1"/>
  <c r="F4" i="1"/>
  <c r="E5" i="1"/>
  <c r="F5" i="1"/>
  <c r="E6" i="1"/>
  <c r="F6" i="1"/>
  <c r="E7" i="1"/>
  <c r="F7" i="1"/>
  <c r="F2" i="1"/>
  <c r="E2" i="1"/>
</calcChain>
</file>

<file path=xl/sharedStrings.xml><?xml version="1.0" encoding="utf-8"?>
<sst xmlns="http://schemas.openxmlformats.org/spreadsheetml/2006/main" count="6" uniqueCount="3">
  <si>
    <t>num_workers</t>
  </si>
  <si>
    <t>Throughput</t>
  </si>
  <si>
    <t>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</si>
</sst>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Local Test False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Sheet1!$B$25</c:f>
              <c:strCache>
                <c:ptCount val="1"/>
                <c:pt idx="0">
                  <c:v>Throughput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Sheet1!$F$26:$F$31</c:f>
                <c:numCache>
                  <c:formatCode>General</c:formatCode>
                  <c:ptCount val="6"/>
                  <c:pt idx="0">
                    <c:v>374.51067278961915</c:v>
                  </c:pt>
                  <c:pt idx="1">
                    <c:v>239.18665326476756</c:v>
                  </c:pt>
                  <c:pt idx="2">
                    <c:v>325.4701645824598</c:v>
                  </c:pt>
                  <c:pt idx="3">
                    <c:v>499.52838251027788</c:v>
                  </c:pt>
                  <c:pt idx="4">
                    <c:v>196.24355921490343</c:v>
                  </c:pt>
                  <c:pt idx="5">
                    <c:v>29.480773960894169</c:v>
                  </c:pt>
                </c:numCache>
              </c:numRef>
            </c:plus>
            <c:minus>
              <c:numRef>
                <c:f>Sheet1!$F$26:$F$31</c:f>
                <c:numCache>
                  <c:formatCode>General</c:formatCode>
                  <c:ptCount val="6"/>
                  <c:pt idx="0">
                    <c:v>374.51067278961915</c:v>
                  </c:pt>
                  <c:pt idx="1">
                    <c:v>239.18665326476756</c:v>
                  </c:pt>
                  <c:pt idx="2">
                    <c:v>325.4701645824598</c:v>
                  </c:pt>
                  <c:pt idx="3">
                    <c:v>499.52838251027788</c:v>
                  </c:pt>
                  <c:pt idx="4">
                    <c:v>196.24355921490343</c:v>
                  </c:pt>
                  <c:pt idx="5">
                    <c:v>29.480773960894169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Sheet1!$A$26:$A$31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Sheet1!$E$26:$E$31</c:f>
              <c:numCache>
                <c:formatCode>General</c:formatCode>
                <c:ptCount val="6"/>
                <c:pt idx="0">
                  <c:v>4496.4066666666668</c:v>
                </c:pt>
                <c:pt idx="1">
                  <c:v>4610.5600000000004</c:v>
                </c:pt>
                <c:pt idx="2">
                  <c:v>3781.0433333333335</c:v>
                </c:pt>
                <c:pt idx="3">
                  <c:v>3094.4633333333331</c:v>
                </c:pt>
                <c:pt idx="4">
                  <c:v>2638.6066666666666</c:v>
                </c:pt>
                <c:pt idx="5">
                  <c:v>2278.5933333333332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A-4F42-A4CA-C7564E77E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441888"/>
        <c:axId val="263920800"/>
      </c:lineChart>
      <c:lineChart>
        <c:grouping val="standard"/>
        <c:varyColors val="0"/>
        <c:ser>
          <c:idx val="2"/>
          <c:order val="1"/>
          <c:tx>
            <c:strRef>
              <c:f>Sheet1!$G$25</c:f>
              <c:strCache>
                <c:ptCount val="1"/>
                <c:pt idx="0">
                  <c:v>Latency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Sheet1!$K$26:$K$31</c:f>
                <c:numCache>
                  <c:formatCode>General</c:formatCode>
                  <c:ptCount val="6"/>
                  <c:pt idx="0">
                    <c:v>0.17776388834631168</c:v>
                  </c:pt>
                  <c:pt idx="1">
                    <c:v>0.22007574453658774</c:v>
                  </c:pt>
                  <c:pt idx="2">
                    <c:v>0.68002450936222403</c:v>
                  </c:pt>
                  <c:pt idx="3">
                    <c:v>1.9493332193342368</c:v>
                  </c:pt>
                  <c:pt idx="4">
                    <c:v>1.367369737854397</c:v>
                  </c:pt>
                  <c:pt idx="5">
                    <c:v>0.33650160970392684</c:v>
                  </c:pt>
                </c:numCache>
              </c:numRef>
            </c:plus>
            <c:minus>
              <c:numRef>
                <c:f>Sheet1!$K$26:$K$31</c:f>
                <c:numCache>
                  <c:formatCode>General</c:formatCode>
                  <c:ptCount val="6"/>
                  <c:pt idx="0">
                    <c:v>0.17776388834631168</c:v>
                  </c:pt>
                  <c:pt idx="1">
                    <c:v>0.22007574453658774</c:v>
                  </c:pt>
                  <c:pt idx="2">
                    <c:v>0.68002450936222403</c:v>
                  </c:pt>
                  <c:pt idx="3">
                    <c:v>1.9493332193342368</c:v>
                  </c:pt>
                  <c:pt idx="4">
                    <c:v>1.367369737854397</c:v>
                  </c:pt>
                  <c:pt idx="5">
                    <c:v>0.33650160970392684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Sheet1!$A$26:$A$31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Sheet1!$J$26:$J$31</c:f>
              <c:numCache>
                <c:formatCode>General</c:formatCode>
                <c:ptCount val="6"/>
                <c:pt idx="0">
                  <c:v>2.2399999999999998</c:v>
                </c:pt>
                <c:pt idx="1">
                  <c:v>4.3566666666666665</c:v>
                </c:pt>
                <c:pt idx="2">
                  <c:v>7.9866666666666655</c:v>
                </c:pt>
                <c:pt idx="3">
                  <c:v>13.15</c:v>
                </c:pt>
                <c:pt idx="4">
                  <c:v>19.04</c:v>
                </c:pt>
                <c:pt idx="5">
                  <c:v>26.353333333333335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AA-4F42-A4CA-C7564E77E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529600"/>
        <c:axId val="1931680416"/>
      </c:lineChart>
      <c:catAx>
        <c:axId val="209444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workers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63920800"/>
        <c:crosses val="autoZero"/>
        <c:auto val="1"/>
        <c:lblAlgn val="ctr"/>
        <c:lblOffset val="100"/>
        <c:noMultiLvlLbl val="0"/>
      </c:catAx>
      <c:valAx>
        <c:axId val="26392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Throughput (runs/s)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94441888"/>
        <c:crosses val="autoZero"/>
        <c:crossBetween val="between"/>
      </c:valAx>
      <c:valAx>
        <c:axId val="19316804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Latency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31529600"/>
        <c:crosses val="max"/>
        <c:crossBetween val="between"/>
      </c:valAx>
      <c:catAx>
        <c:axId val="1931529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6804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Local Test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Throughput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Sheet1!$F$2:$F$7</c:f>
                <c:numCache>
                  <c:formatCode>General</c:formatCode>
                  <c:ptCount val="6"/>
                  <c:pt idx="0">
                    <c:v>498.78557009333508</c:v>
                  </c:pt>
                  <c:pt idx="1">
                    <c:v>446.99504206795535</c:v>
                  </c:pt>
                  <c:pt idx="2">
                    <c:v>296.53379947880052</c:v>
                  </c:pt>
                  <c:pt idx="3">
                    <c:v>198.1291362554563</c:v>
                  </c:pt>
                  <c:pt idx="4">
                    <c:v>200.77987258022969</c:v>
                  </c:pt>
                  <c:pt idx="5">
                    <c:v>260.74925317885982</c:v>
                  </c:pt>
                </c:numCache>
              </c:numRef>
            </c:plus>
            <c:minus>
              <c:numRef>
                <c:f>Sheet1!$F$2:$F$7</c:f>
                <c:numCache>
                  <c:formatCode>General</c:formatCode>
                  <c:ptCount val="6"/>
                  <c:pt idx="0">
                    <c:v>498.78557009333508</c:v>
                  </c:pt>
                  <c:pt idx="1">
                    <c:v>446.99504206795535</c:v>
                  </c:pt>
                  <c:pt idx="2">
                    <c:v>296.53379947880052</c:v>
                  </c:pt>
                  <c:pt idx="3">
                    <c:v>198.1291362554563</c:v>
                  </c:pt>
                  <c:pt idx="4">
                    <c:v>200.77987258022969</c:v>
                  </c:pt>
                  <c:pt idx="5">
                    <c:v>260.74925317885982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Sheet1!$E$2:$E$7</c:f>
              <c:numCache>
                <c:formatCode>General</c:formatCode>
                <c:ptCount val="6"/>
                <c:pt idx="0">
                  <c:v>15430.433333333332</c:v>
                </c:pt>
                <c:pt idx="1">
                  <c:v>12508.906666666668</c:v>
                </c:pt>
                <c:pt idx="2">
                  <c:v>9453.0366666666669</c:v>
                </c:pt>
                <c:pt idx="3">
                  <c:v>7748.1133333333337</c:v>
                </c:pt>
                <c:pt idx="4">
                  <c:v>6075.5633333333326</c:v>
                </c:pt>
                <c:pt idx="5">
                  <c:v>5161.5966666666664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61-C545-BBF6-52CBB3ED9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566848"/>
        <c:axId val="1958058704"/>
      </c:lineChart>
      <c:lineChart>
        <c:grouping val="standard"/>
        <c:varyColors val="0"/>
        <c:ser>
          <c:idx val="2"/>
          <c:order val="1"/>
          <c:tx>
            <c:strRef>
              <c:f>Sheet1!$G$1</c:f>
              <c:strCache>
                <c:ptCount val="1"/>
                <c:pt idx="0">
                  <c:v>Latency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Sheet1!$K$2:$K$7</c:f>
                <c:numCache>
                  <c:formatCode>General</c:formatCode>
                  <c:ptCount val="6"/>
                  <c:pt idx="0">
                    <c:v>2.0000000000000018E-2</c:v>
                  </c:pt>
                  <c:pt idx="1">
                    <c:v>5.2915026221291732E-2</c:v>
                  </c:pt>
                  <c:pt idx="2">
                    <c:v>0.13503086067019399</c:v>
                  </c:pt>
                  <c:pt idx="3">
                    <c:v>8.5440037453175258E-2</c:v>
                  </c:pt>
                  <c:pt idx="4">
                    <c:v>0.17559422921421211</c:v>
                  </c:pt>
                  <c:pt idx="5">
                    <c:v>0.76107380281634607</c:v>
                  </c:pt>
                </c:numCache>
              </c:numRef>
            </c:plus>
            <c:minus>
              <c:numRef>
                <c:f>Sheet1!$K$2:$K$7</c:f>
                <c:numCache>
                  <c:formatCode>General</c:formatCode>
                  <c:ptCount val="6"/>
                  <c:pt idx="0">
                    <c:v>2.0000000000000018E-2</c:v>
                  </c:pt>
                  <c:pt idx="1">
                    <c:v>5.2915026221291732E-2</c:v>
                  </c:pt>
                  <c:pt idx="2">
                    <c:v>0.13503086067019399</c:v>
                  </c:pt>
                  <c:pt idx="3">
                    <c:v>8.5440037453175258E-2</c:v>
                  </c:pt>
                  <c:pt idx="4">
                    <c:v>0.17559422921421211</c:v>
                  </c:pt>
                  <c:pt idx="5">
                    <c:v>0.76107380281634607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Sheet1!$J$2:$J$7</c:f>
              <c:numCache>
                <c:formatCode>General</c:formatCode>
                <c:ptCount val="6"/>
                <c:pt idx="0">
                  <c:v>0.65</c:v>
                </c:pt>
                <c:pt idx="1">
                  <c:v>1.6300000000000001</c:v>
                </c:pt>
                <c:pt idx="2">
                  <c:v>3.2533333333333334</c:v>
                </c:pt>
                <c:pt idx="3">
                  <c:v>5.32</c:v>
                </c:pt>
                <c:pt idx="4">
                  <c:v>8.6066666666666656</c:v>
                </c:pt>
                <c:pt idx="5">
                  <c:v>12.176666666666668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61-C545-BBF6-52CBB3ED9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202960"/>
        <c:axId val="1958635968"/>
      </c:lineChart>
      <c:catAx>
        <c:axId val="195856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workers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58058704"/>
        <c:crosses val="autoZero"/>
        <c:auto val="1"/>
        <c:lblAlgn val="ctr"/>
        <c:lblOffset val="100"/>
        <c:noMultiLvlLbl val="0"/>
      </c:catAx>
      <c:valAx>
        <c:axId val="195805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Throughput</a:t>
                </a:r>
                <a:r>
                  <a:rPr lang="en-GB" baseline="0"/>
                  <a:t> (runs/s)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58566848"/>
        <c:crosses val="autoZero"/>
        <c:crossBetween val="between"/>
      </c:valAx>
      <c:valAx>
        <c:axId val="19586359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Latency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106202960"/>
        <c:crosses val="max"/>
        <c:crossBetween val="between"/>
      </c:valAx>
      <c:catAx>
        <c:axId val="2106202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86359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107462</xdr:colOff>
      <xdr:row>32</xdr:row>
      <xdr:rowOff>66648</xdr:rowOff>
    </xdr:from>
    <xdr:to>
      <xdr:col>6</xdr:col>
      <xdr:colOff>554675</xdr:colOff>
      <xdr:row>45</xdr:row>
      <xdr:rowOff>128737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75A334-4A1F-E6FF-B641-636A0DBF4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491251</xdr:colOff>
      <xdr:row>8</xdr:row>
      <xdr:rowOff>58894</xdr:rowOff>
    </xdr:from>
    <xdr:to>
      <xdr:col>7</xdr:col>
      <xdr:colOff>122812</xdr:colOff>
      <xdr:row>21</xdr:row>
      <xdr:rowOff>80665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606F51-B62C-C932-FE92-F0F9D46FB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1374-6697-3748-82CA-FC630EF4CECF}">
  <dimension ref="A1:K31"/>
  <sheetViews>
    <sheetView tabSelected="1" zoomScale="115" zoomScaleNormal="400" workbookViewId="0">
      <selection activeCell="K10" sqref="K10"/>
    </sheetView>
  </sheetViews>
  <sheetFormatPr baseColWidth="10" defaultRowHeight="16" x14ac:dyDescent="0.2"/>
  <cols>
    <col min="2" max="2" width="10.83203125" customWidth="1"/>
  </cols>
  <sheetData>
    <row r="1" spans="1:11" x14ac:dyDescent="0.2">
      <c r="A1" t="s">
        <v>0</v>
      </c>
      <c r="B1" t="s">
        <v>1</v>
      </c>
      <c r="G1" t="s">
        <v>2</v>
      </c>
    </row>
    <row r="2" spans="1:11" x14ac:dyDescent="0.2">
      <c r="A2">
        <v>10</v>
      </c>
      <c r="B2">
        <v>15352.6</v>
      </c>
      <c r="C2">
        <v>14975.14</v>
      </c>
      <c r="D2">
        <v>15963.56</v>
      </c>
      <c r="E2" s="1">
        <f>AVERAGE(B2:D2)</f>
        <v>15430.433333333332</v>
      </c>
      <c r="F2" s="1">
        <f>STDEV(B2:D2)</f>
        <v>498.78557009333508</v>
      </c>
      <c r="G2">
        <v>0.65</v>
      </c>
      <c r="H2">
        <v>0.67</v>
      </c>
      <c r="I2">
        <v>0.63</v>
      </c>
      <c r="J2" s="1">
        <f>AVERAGE(G2:I2)</f>
        <v>0.65</v>
      </c>
      <c r="K2" s="1">
        <f>STDEV(G2:I2)</f>
        <v>2.0000000000000018E-2</v>
      </c>
    </row>
    <row r="3" spans="1:11" x14ac:dyDescent="0.2">
      <c r="A3">
        <v>20</v>
      </c>
      <c r="B3">
        <v>12862.81</v>
      </c>
      <c r="C3">
        <v>12657.33</v>
      </c>
      <c r="D3">
        <v>12006.58</v>
      </c>
      <c r="E3" s="1">
        <f t="shared" ref="E3:E7" si="0">AVERAGE(B3:D3)</f>
        <v>12508.906666666668</v>
      </c>
      <c r="F3" s="1">
        <f t="shared" ref="F3:F7" si="1">STDEV(B3:D3)</f>
        <v>446.99504206795535</v>
      </c>
      <c r="G3">
        <v>1.59</v>
      </c>
      <c r="H3">
        <v>1.61</v>
      </c>
      <c r="I3">
        <v>1.69</v>
      </c>
      <c r="J3" s="1">
        <f t="shared" ref="J3:J7" si="2">AVERAGE(G3:I3)</f>
        <v>1.6300000000000001</v>
      </c>
      <c r="K3" s="1">
        <f t="shared" ref="K3:K7" si="3">STDEV(G3:I3)</f>
        <v>5.2915026221291732E-2</v>
      </c>
    </row>
    <row r="4" spans="1:11" x14ac:dyDescent="0.2">
      <c r="A4">
        <v>30</v>
      </c>
      <c r="B4">
        <v>9162.7999999999993</v>
      </c>
      <c r="C4">
        <v>9755.49</v>
      </c>
      <c r="D4">
        <v>9440.82</v>
      </c>
      <c r="E4" s="1">
        <f t="shared" si="0"/>
        <v>9453.0366666666669</v>
      </c>
      <c r="F4" s="1">
        <f t="shared" si="1"/>
        <v>296.53379947880052</v>
      </c>
      <c r="G4">
        <v>3.39</v>
      </c>
      <c r="H4">
        <v>3.12</v>
      </c>
      <c r="I4">
        <v>3.25</v>
      </c>
      <c r="J4" s="1">
        <f t="shared" si="2"/>
        <v>3.2533333333333334</v>
      </c>
      <c r="K4" s="1">
        <f t="shared" si="3"/>
        <v>0.13503086067019399</v>
      </c>
    </row>
    <row r="5" spans="1:11" x14ac:dyDescent="0.2">
      <c r="A5">
        <v>40</v>
      </c>
      <c r="B5">
        <v>7678.34</v>
      </c>
      <c r="C5">
        <v>7594.31</v>
      </c>
      <c r="D5">
        <v>7971.69</v>
      </c>
      <c r="E5" s="1">
        <f t="shared" si="0"/>
        <v>7748.1133333333337</v>
      </c>
      <c r="F5" s="1">
        <f t="shared" si="1"/>
        <v>198.1291362554563</v>
      </c>
      <c r="G5">
        <v>5.33</v>
      </c>
      <c r="H5">
        <v>5.4</v>
      </c>
      <c r="I5">
        <v>5.23</v>
      </c>
      <c r="J5" s="1">
        <f t="shared" si="2"/>
        <v>5.32</v>
      </c>
      <c r="K5" s="1">
        <f t="shared" si="3"/>
        <v>8.5440037453175258E-2</v>
      </c>
    </row>
    <row r="6" spans="1:11" x14ac:dyDescent="0.2">
      <c r="A6">
        <v>50</v>
      </c>
      <c r="B6">
        <v>5941.48</v>
      </c>
      <c r="C6">
        <v>6306.4</v>
      </c>
      <c r="D6">
        <v>5978.81</v>
      </c>
      <c r="E6" s="1">
        <f t="shared" si="0"/>
        <v>6075.5633333333326</v>
      </c>
      <c r="F6" s="1">
        <f t="shared" si="1"/>
        <v>200.77987258022969</v>
      </c>
      <c r="G6">
        <v>8.7899999999999991</v>
      </c>
      <c r="H6">
        <v>8.44</v>
      </c>
      <c r="I6">
        <v>8.59</v>
      </c>
      <c r="J6" s="1">
        <f t="shared" si="2"/>
        <v>8.6066666666666656</v>
      </c>
      <c r="K6" s="1">
        <f t="shared" si="3"/>
        <v>0.17559422921421211</v>
      </c>
    </row>
    <row r="7" spans="1:11" x14ac:dyDescent="0.2">
      <c r="A7">
        <v>60</v>
      </c>
      <c r="B7">
        <v>5153.29</v>
      </c>
      <c r="C7">
        <v>5426.4</v>
      </c>
      <c r="D7">
        <v>4905.1000000000004</v>
      </c>
      <c r="E7" s="1">
        <f t="shared" si="0"/>
        <v>5161.5966666666664</v>
      </c>
      <c r="F7" s="1">
        <f t="shared" si="1"/>
        <v>260.74925317885982</v>
      </c>
      <c r="G7">
        <v>12.13</v>
      </c>
      <c r="H7">
        <v>11.44</v>
      </c>
      <c r="I7">
        <v>12.96</v>
      </c>
      <c r="J7" s="1">
        <f t="shared" si="2"/>
        <v>12.176666666666668</v>
      </c>
      <c r="K7" s="1">
        <f t="shared" si="3"/>
        <v>0.76107380281634607</v>
      </c>
    </row>
    <row r="25" spans="1:11" x14ac:dyDescent="0.2">
      <c r="A25" t="s">
        <v>0</v>
      </c>
      <c r="B25" t="s">
        <v>1</v>
      </c>
      <c r="G25" t="s">
        <v>2</v>
      </c>
    </row>
    <row r="26" spans="1:11" x14ac:dyDescent="0.2">
      <c r="A26">
        <v>10</v>
      </c>
      <c r="B26">
        <v>4209.8100000000004</v>
      </c>
      <c r="C26">
        <v>4920.16</v>
      </c>
      <c r="D26">
        <v>4359.25</v>
      </c>
      <c r="E26" s="1">
        <f>AVERAGE(B26:D26)</f>
        <v>4496.4066666666668</v>
      </c>
      <c r="F26" s="1">
        <f>STDEV(B26:D26)</f>
        <v>374.51067278961915</v>
      </c>
      <c r="G26">
        <v>2.38</v>
      </c>
      <c r="H26">
        <v>2.04</v>
      </c>
      <c r="I26">
        <v>2.2999999999999998</v>
      </c>
      <c r="J26" s="1">
        <f>AVERAGE(G26:I26)</f>
        <v>2.2399999999999998</v>
      </c>
      <c r="K26" s="1">
        <f>STDEV(G26:I26)</f>
        <v>0.17776388834631168</v>
      </c>
    </row>
    <row r="27" spans="1:11" x14ac:dyDescent="0.2">
      <c r="A27">
        <v>20</v>
      </c>
      <c r="B27">
        <v>4608.5</v>
      </c>
      <c r="C27">
        <v>4850.7700000000004</v>
      </c>
      <c r="D27">
        <v>4372.41</v>
      </c>
      <c r="E27" s="1">
        <f t="shared" ref="E27:E31" si="4">AVERAGE(B27:D27)</f>
        <v>4610.5600000000004</v>
      </c>
      <c r="F27" s="1">
        <f t="shared" ref="F27:F31" si="5">STDEV(B27:D27)</f>
        <v>239.18665326476756</v>
      </c>
      <c r="G27">
        <v>4.3499999999999996</v>
      </c>
      <c r="H27">
        <v>4.1399999999999997</v>
      </c>
      <c r="I27">
        <v>4.58</v>
      </c>
      <c r="J27" s="1">
        <f t="shared" ref="J27:J31" si="6">AVERAGE(G27:I27)</f>
        <v>4.3566666666666665</v>
      </c>
      <c r="K27" s="1">
        <f t="shared" ref="K27:K31" si="7">STDEV(G27:I27)</f>
        <v>0.22007574453658774</v>
      </c>
    </row>
    <row r="28" spans="1:11" x14ac:dyDescent="0.2">
      <c r="A28">
        <v>30</v>
      </c>
      <c r="B28">
        <v>3760.85</v>
      </c>
      <c r="C28">
        <v>3466.14</v>
      </c>
      <c r="D28">
        <v>4116.1400000000003</v>
      </c>
      <c r="E28" s="1">
        <f t="shared" si="4"/>
        <v>3781.0433333333335</v>
      </c>
      <c r="F28" s="1">
        <f t="shared" si="5"/>
        <v>325.4701645824598</v>
      </c>
      <c r="G28">
        <v>7.98</v>
      </c>
      <c r="H28">
        <v>8.67</v>
      </c>
      <c r="I28">
        <v>7.31</v>
      </c>
      <c r="J28" s="1">
        <f t="shared" si="6"/>
        <v>7.9866666666666655</v>
      </c>
      <c r="K28" s="1">
        <f t="shared" si="7"/>
        <v>0.68002450936222403</v>
      </c>
    </row>
    <row r="29" spans="1:11" x14ac:dyDescent="0.2">
      <c r="A29">
        <v>40</v>
      </c>
      <c r="B29">
        <v>3668.23</v>
      </c>
      <c r="C29">
        <v>2756.37</v>
      </c>
      <c r="D29">
        <v>2858.79</v>
      </c>
      <c r="E29" s="1">
        <f t="shared" si="4"/>
        <v>3094.4633333333331</v>
      </c>
      <c r="F29" s="1">
        <f t="shared" si="5"/>
        <v>499.52838251027788</v>
      </c>
      <c r="G29">
        <v>10.92</v>
      </c>
      <c r="H29">
        <v>14.53</v>
      </c>
      <c r="I29">
        <v>14</v>
      </c>
      <c r="J29" s="1">
        <f t="shared" si="6"/>
        <v>13.15</v>
      </c>
      <c r="K29" s="1">
        <f t="shared" si="7"/>
        <v>1.9493332193342368</v>
      </c>
    </row>
    <row r="30" spans="1:11" x14ac:dyDescent="0.2">
      <c r="A30">
        <v>50</v>
      </c>
      <c r="B30">
        <v>2858.52</v>
      </c>
      <c r="C30">
        <v>2481.3200000000002</v>
      </c>
      <c r="D30">
        <v>2575.98</v>
      </c>
      <c r="E30" s="1">
        <f t="shared" si="4"/>
        <v>2638.6066666666666</v>
      </c>
      <c r="F30" s="1">
        <f t="shared" si="5"/>
        <v>196.24355921490343</v>
      </c>
      <c r="G30">
        <v>17.52</v>
      </c>
      <c r="H30">
        <v>20.170000000000002</v>
      </c>
      <c r="I30">
        <v>19.43</v>
      </c>
      <c r="J30" s="1">
        <f t="shared" si="6"/>
        <v>19.04</v>
      </c>
      <c r="K30" s="1">
        <f t="shared" si="7"/>
        <v>1.367369737854397</v>
      </c>
    </row>
    <row r="31" spans="1:11" x14ac:dyDescent="0.2">
      <c r="A31">
        <v>60</v>
      </c>
      <c r="B31">
        <v>2275.33</v>
      </c>
      <c r="C31">
        <v>2309.5700000000002</v>
      </c>
      <c r="D31">
        <v>2250.88</v>
      </c>
      <c r="E31" s="1">
        <f t="shared" si="4"/>
        <v>2278.5933333333332</v>
      </c>
      <c r="F31" s="1">
        <f t="shared" si="5"/>
        <v>29.480773960894169</v>
      </c>
      <c r="G31">
        <v>26.39</v>
      </c>
      <c r="H31">
        <v>26</v>
      </c>
      <c r="I31">
        <v>26.67</v>
      </c>
      <c r="J31" s="1">
        <f t="shared" si="6"/>
        <v>26.353333333333335</v>
      </c>
      <c r="K31" s="1">
        <f t="shared" si="7"/>
        <v>0.33650160970392684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Asger Ren Nordbjerg</dc:creator>
  <cp:lastModifiedBy>Asger Ren Nordbjerg</cp:lastModifiedBy>
  <dcterms:created xsi:type="dcterms:W3CDTF">2025-12-21T11:28:21Z</dcterms:created>
  <dcterms:modified xsi:type="dcterms:W3CDTF">2025-12-21T19:25:41Z</dcterms:modified>
</cp:coreProperties>
</file>